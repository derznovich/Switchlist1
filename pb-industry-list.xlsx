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AI-comp\AI-Comp\"/>
    </mc:Choice>
  </mc:AlternateContent>
  <xr:revisionPtr revIDLastSave="0" documentId="13_ncr:1_{FC3D57CC-D76A-4B98-A04D-78233B31099A}" xr6:coauthVersionLast="47" xr6:coauthVersionMax="47" xr10:uidLastSave="{00000000-0000-0000-0000-000000000000}"/>
  <bookViews>
    <workbookView xWindow="2660" yWindow="2660" windowWidth="26730" windowHeight="15610" xr2:uid="{031C85C3-F1BF-4F22-9255-BBB4830B7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9" i="1" l="1"/>
  <c r="L13" i="1"/>
  <c r="L93" i="1"/>
  <c r="L92" i="1"/>
  <c r="L91" i="1"/>
  <c r="L12" i="1"/>
  <c r="L11" i="1"/>
  <c r="L102" i="1"/>
  <c r="L101" i="1"/>
  <c r="L100" i="1"/>
  <c r="L99" i="1"/>
  <c r="L98" i="1"/>
  <c r="L97" i="1"/>
  <c r="L96" i="1"/>
  <c r="L95" i="1"/>
  <c r="L94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4" i="1"/>
  <c r="L10" i="1"/>
  <c r="L9" i="1"/>
  <c r="L8" i="1"/>
  <c r="L7" i="1"/>
  <c r="L6" i="1"/>
  <c r="L5" i="1"/>
  <c r="L4" i="1"/>
  <c r="L3" i="1"/>
  <c r="L2" i="1"/>
  <c r="L20" i="1"/>
</calcChain>
</file>

<file path=xl/sharedStrings.xml><?xml version="1.0" encoding="utf-8"?>
<sst xmlns="http://schemas.openxmlformats.org/spreadsheetml/2006/main" count="759" uniqueCount="136">
  <si>
    <t>coal</t>
  </si>
  <si>
    <t>Hopper</t>
  </si>
  <si>
    <t>scrap</t>
  </si>
  <si>
    <t>Gondola</t>
  </si>
  <si>
    <t>lumber</t>
  </si>
  <si>
    <t>centerbeam flat</t>
  </si>
  <si>
    <t>steel coil</t>
  </si>
  <si>
    <t>Boxcar</t>
  </si>
  <si>
    <t>rods</t>
  </si>
  <si>
    <t>Flat</t>
  </si>
  <si>
    <t>Covered Hopper</t>
  </si>
  <si>
    <t>iron ore</t>
  </si>
  <si>
    <t>scrap metal</t>
  </si>
  <si>
    <t>sugar syrup</t>
  </si>
  <si>
    <t>Tank</t>
  </si>
  <si>
    <t>general goods</t>
  </si>
  <si>
    <t>beer</t>
  </si>
  <si>
    <t>wheat</t>
  </si>
  <si>
    <t>brown paper</t>
  </si>
  <si>
    <t>logs</t>
  </si>
  <si>
    <t>Centerbeam</t>
  </si>
  <si>
    <t>flat</t>
  </si>
  <si>
    <t>Woodchip hopper</t>
  </si>
  <si>
    <t>recycled paper</t>
  </si>
  <si>
    <t>meat</t>
  </si>
  <si>
    <t>Reefer</t>
  </si>
  <si>
    <t>tank</t>
  </si>
  <si>
    <t>potash</t>
  </si>
  <si>
    <t>fertilizer</t>
  </si>
  <si>
    <t>furniture</t>
  </si>
  <si>
    <t>industry_name</t>
  </si>
  <si>
    <t>commodity</t>
  </si>
  <si>
    <t>produce_consume</t>
  </si>
  <si>
    <t>car_type</t>
  </si>
  <si>
    <t>mandatory_start</t>
  </si>
  <si>
    <t>min_carloads</t>
  </si>
  <si>
    <t>max_carloads</t>
  </si>
  <si>
    <t>source_mode</t>
  </si>
  <si>
    <t>fixed_partner_1</t>
  </si>
  <si>
    <t>fixed_partner_2</t>
  </si>
  <si>
    <t>allow_split</t>
  </si>
  <si>
    <t>split_probability</t>
  </si>
  <si>
    <t>off_map_ok</t>
  </si>
  <si>
    <t>on_map_only</t>
  </si>
  <si>
    <t>yes</t>
  </si>
  <si>
    <t>no</t>
  </si>
  <si>
    <t>fixed_on_map_only</t>
  </si>
  <si>
    <t>i beams</t>
  </si>
  <si>
    <t>paper rolls brown</t>
  </si>
  <si>
    <t>diesel fuel</t>
  </si>
  <si>
    <t>fuel oil</t>
  </si>
  <si>
    <t>barley</t>
  </si>
  <si>
    <t>spent grains</t>
  </si>
  <si>
    <t>tofc</t>
  </si>
  <si>
    <t>limestone</t>
  </si>
  <si>
    <t>cement</t>
  </si>
  <si>
    <t>woodchips</t>
  </si>
  <si>
    <t>paper rolls white</t>
  </si>
  <si>
    <t>kaolin</t>
  </si>
  <si>
    <t>sodium hydroxide</t>
  </si>
  <si>
    <t>diesel</t>
  </si>
  <si>
    <t>ammonia</t>
  </si>
  <si>
    <t>hops</t>
  </si>
  <si>
    <t>pipes</t>
  </si>
  <si>
    <t>producer</t>
  </si>
  <si>
    <t>consumer</t>
  </si>
  <si>
    <t>000 - Dockside coal</t>
  </si>
  <si>
    <t>000 - Grafton Recycling</t>
  </si>
  <si>
    <t>000 - Grafton Lumber</t>
  </si>
  <si>
    <t>000 - Grafton Steel works 1</t>
  </si>
  <si>
    <t>000 - Grafton Steel works 2</t>
  </si>
  <si>
    <t>000 - Grafton Steel works 3</t>
  </si>
  <si>
    <t>000 - Ag Co Op</t>
  </si>
  <si>
    <t>000 - Grafton Ore</t>
  </si>
  <si>
    <t>100 - Reitz Salvage</t>
  </si>
  <si>
    <t>100 -  Swift Foods</t>
  </si>
  <si>
    <t>100 - Swift Foods</t>
  </si>
  <si>
    <t>100 - Avery Sweets</t>
  </si>
  <si>
    <t>100 - Texaco Oil (Diesel)</t>
  </si>
  <si>
    <t>100 - Texaco Oil (Fuel Oil)</t>
  </si>
  <si>
    <t>100 - Highland Brewery</t>
  </si>
  <si>
    <t>200 - Grundy's Cement</t>
  </si>
  <si>
    <t>200 - Moss Creek Logs</t>
  </si>
  <si>
    <t>200 - Keystone Power</t>
  </si>
  <si>
    <t>200 - Babcock Mines</t>
  </si>
  <si>
    <t>300 - Huntingdon Paper</t>
  </si>
  <si>
    <t>401 - Allegheny Steel Mill</t>
  </si>
  <si>
    <t>410 - Refinery - fuel oil</t>
  </si>
  <si>
    <t>410 - Refinery - Diesel</t>
  </si>
  <si>
    <t>410 - Refinery - Sodium Hydroxide</t>
  </si>
  <si>
    <t>410 - Refinery - Ammonia</t>
  </si>
  <si>
    <t>410 - Cold Storage</t>
  </si>
  <si>
    <t>410 - Herzog Scrap</t>
  </si>
  <si>
    <t>410 - Esopus Lumber</t>
  </si>
  <si>
    <t>410 - Allegheny Potash IB</t>
  </si>
  <si>
    <t>410 - Allegheny Fertilizer</t>
  </si>
  <si>
    <t>410 - Allegheny Ammonia</t>
  </si>
  <si>
    <t>410 - Gill's Grains</t>
  </si>
  <si>
    <t>410 - Gill's Team Track</t>
  </si>
  <si>
    <t>410 - Fleischmann's Gravel</t>
  </si>
  <si>
    <t>402 - Brier's Grain</t>
  </si>
  <si>
    <t>500 - Huskin Quarry</t>
  </si>
  <si>
    <t>701 - Jakes Freight</t>
  </si>
  <si>
    <t>803 - Universal Sugar</t>
  </si>
  <si>
    <t>802 - Standard Oil</t>
  </si>
  <si>
    <t>801 - Belmont Lumber</t>
  </si>
  <si>
    <t>805 - Berwind Eureka Store</t>
  </si>
  <si>
    <t>805 - Horners Scrap</t>
  </si>
  <si>
    <t>805 - Agway</t>
  </si>
  <si>
    <t>805 - Glossers Brothers Co</t>
  </si>
  <si>
    <t>806 - Iron City Sash &amp; Door</t>
  </si>
  <si>
    <t>806 -Iron City Sash &amp; Door</t>
  </si>
  <si>
    <t>900 - Juniata Power Station</t>
  </si>
  <si>
    <t>801 - Thompson Beverage</t>
  </si>
  <si>
    <t>900 - Riegling Auto Salvage</t>
  </si>
  <si>
    <t>900 - Michael's Shredding</t>
  </si>
  <si>
    <t>900 - Eminwes Furniture</t>
  </si>
  <si>
    <t>900 - Juniata Distribution</t>
  </si>
  <si>
    <t>900 - Juniata Wholesale</t>
  </si>
  <si>
    <t>900 - Mark's Freight</t>
  </si>
  <si>
    <t>702 - PBS Coal</t>
  </si>
  <si>
    <t>200 - Curry Mill Babcock Lumber</t>
  </si>
  <si>
    <t>001 - Locust Run Cement</t>
  </si>
  <si>
    <t>002 - Seven Stars wheat</t>
  </si>
  <si>
    <t>002 - Columbus barley</t>
  </si>
  <si>
    <t>899 - Acker Coop</t>
  </si>
  <si>
    <t>899 - Acker grains</t>
  </si>
  <si>
    <t>899 - Newport logs</t>
  </si>
  <si>
    <t>100 - Highland TOFC</t>
  </si>
  <si>
    <t>803 - (Vonny) Truck Center</t>
  </si>
  <si>
    <t>422 - Brier's Grain</t>
  </si>
  <si>
    <t>423 - Shawnee Team Track</t>
  </si>
  <si>
    <t>601 - Summerlee Mine</t>
  </si>
  <si>
    <t>sand &amp; gravel</t>
  </si>
  <si>
    <t>sand and gravel</t>
  </si>
  <si>
    <t>Coil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</si>
</sst>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4A08-3536-496D-B677-A8C805373ED5}">
  <dimension ref="A1:L102"/>
  <sheetViews>
    <sheetView tabSelected="1" topLeftCell="A60" zoomScale="140" zoomScaleNormal="140" workbookViewId="0">
      <selection activeCell="C71" sqref="C71"/>
    </sheetView>
  </sheetViews>
  <sheetFormatPr defaultRowHeight="14.5" x14ac:dyDescent="0.35"/>
  <cols>
    <col min="1" max="1" width="24.54296875" customWidth="1"/>
    <col min="2" max="2" width="22.26953125" customWidth="1"/>
    <col min="3" max="3" width="17.453125" customWidth="1"/>
    <col min="5" max="6" width="12.90625" customWidth="1"/>
    <col min="7" max="7" width="12.453125" customWidth="1"/>
    <col min="8" max="8" width="45.453125" customWidth="1"/>
  </cols>
  <sheetData>
    <row r="1" spans="1:12" ht="26.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35">
      <c r="A2" t="s">
        <v>66</v>
      </c>
      <c r="B2" t="s">
        <v>0</v>
      </c>
      <c r="C2" t="s">
        <v>65</v>
      </c>
      <c r="D2" t="s">
        <v>1</v>
      </c>
      <c r="E2" t="s">
        <v>45</v>
      </c>
      <c r="F2">
        <v>10</v>
      </c>
      <c r="G2">
        <v>20</v>
      </c>
      <c r="H2" t="s">
        <v>43</v>
      </c>
      <c r="I2" t="s">
        <v>120</v>
      </c>
      <c r="K2" t="s">
        <v>44</v>
      </c>
      <c r="L2">
        <f t="shared" ref="L2:L19" si="0">IF(K2="yes", 0.5,0)</f>
        <v>0.5</v>
      </c>
    </row>
    <row r="3" spans="1:12" x14ac:dyDescent="0.35">
      <c r="A3" t="s">
        <v>67</v>
      </c>
      <c r="B3" t="s">
        <v>2</v>
      </c>
      <c r="C3" t="s">
        <v>64</v>
      </c>
      <c r="D3" t="s">
        <v>3</v>
      </c>
      <c r="E3" t="s">
        <v>45</v>
      </c>
      <c r="F3">
        <v>1</v>
      </c>
      <c r="G3">
        <v>3</v>
      </c>
      <c r="H3" t="s">
        <v>46</v>
      </c>
      <c r="I3" t="s">
        <v>86</v>
      </c>
      <c r="K3" t="s">
        <v>44</v>
      </c>
      <c r="L3">
        <f t="shared" si="0"/>
        <v>0.5</v>
      </c>
    </row>
    <row r="4" spans="1:12" x14ac:dyDescent="0.35">
      <c r="A4" t="s">
        <v>68</v>
      </c>
      <c r="B4" t="s">
        <v>4</v>
      </c>
      <c r="C4" t="s">
        <v>65</v>
      </c>
      <c r="D4" t="s">
        <v>5</v>
      </c>
      <c r="E4" t="s">
        <v>45</v>
      </c>
      <c r="F4">
        <v>3</v>
      </c>
      <c r="G4">
        <v>4</v>
      </c>
      <c r="H4" t="s">
        <v>42</v>
      </c>
      <c r="K4" t="s">
        <v>44</v>
      </c>
      <c r="L4">
        <f t="shared" si="0"/>
        <v>0.5</v>
      </c>
    </row>
    <row r="5" spans="1:12" x14ac:dyDescent="0.35">
      <c r="A5" t="s">
        <v>69</v>
      </c>
      <c r="B5" t="s">
        <v>6</v>
      </c>
      <c r="C5" t="s">
        <v>65</v>
      </c>
      <c r="D5" t="s">
        <v>135</v>
      </c>
      <c r="E5" t="s">
        <v>45</v>
      </c>
      <c r="F5">
        <v>4</v>
      </c>
      <c r="G5">
        <v>6</v>
      </c>
      <c r="H5" t="s">
        <v>46</v>
      </c>
      <c r="I5" t="s">
        <v>86</v>
      </c>
      <c r="K5" t="s">
        <v>44</v>
      </c>
      <c r="L5">
        <f t="shared" si="0"/>
        <v>0.5</v>
      </c>
    </row>
    <row r="6" spans="1:12" x14ac:dyDescent="0.35">
      <c r="A6" t="s">
        <v>70</v>
      </c>
      <c r="B6" t="s">
        <v>8</v>
      </c>
      <c r="C6" t="s">
        <v>65</v>
      </c>
      <c r="D6" t="s">
        <v>3</v>
      </c>
      <c r="E6" t="s">
        <v>45</v>
      </c>
      <c r="F6">
        <v>4</v>
      </c>
      <c r="G6">
        <v>5</v>
      </c>
      <c r="H6" t="s">
        <v>46</v>
      </c>
      <c r="I6" t="s">
        <v>86</v>
      </c>
      <c r="K6" t="s">
        <v>44</v>
      </c>
      <c r="L6">
        <f t="shared" si="0"/>
        <v>0.5</v>
      </c>
    </row>
    <row r="7" spans="1:12" x14ac:dyDescent="0.35">
      <c r="A7" t="s">
        <v>71</v>
      </c>
      <c r="B7" t="s">
        <v>47</v>
      </c>
      <c r="C7" t="s">
        <v>65</v>
      </c>
      <c r="D7" t="s">
        <v>3</v>
      </c>
      <c r="E7" t="s">
        <v>45</v>
      </c>
      <c r="F7">
        <v>4</v>
      </c>
      <c r="G7">
        <v>6</v>
      </c>
      <c r="H7" t="s">
        <v>46</v>
      </c>
      <c r="I7" t="s">
        <v>86</v>
      </c>
      <c r="K7" t="s">
        <v>44</v>
      </c>
      <c r="L7">
        <f t="shared" si="0"/>
        <v>0.5</v>
      </c>
    </row>
    <row r="8" spans="1:12" x14ac:dyDescent="0.35">
      <c r="A8" t="s">
        <v>71</v>
      </c>
      <c r="B8" t="s">
        <v>63</v>
      </c>
      <c r="C8" t="s">
        <v>64</v>
      </c>
      <c r="D8" t="s">
        <v>9</v>
      </c>
      <c r="E8" t="s">
        <v>45</v>
      </c>
      <c r="F8">
        <v>4</v>
      </c>
      <c r="G8">
        <v>6</v>
      </c>
      <c r="H8" t="s">
        <v>42</v>
      </c>
      <c r="K8" t="s">
        <v>44</v>
      </c>
      <c r="L8">
        <f t="shared" si="0"/>
        <v>0.5</v>
      </c>
    </row>
    <row r="9" spans="1:12" x14ac:dyDescent="0.35">
      <c r="A9" t="s">
        <v>72</v>
      </c>
      <c r="B9" t="s">
        <v>17</v>
      </c>
      <c r="C9" t="s">
        <v>65</v>
      </c>
      <c r="D9" t="s">
        <v>10</v>
      </c>
      <c r="E9" t="s">
        <v>44</v>
      </c>
      <c r="F9">
        <v>7</v>
      </c>
      <c r="G9">
        <v>8</v>
      </c>
      <c r="H9" t="s">
        <v>43</v>
      </c>
      <c r="I9" s="4" t="s">
        <v>100</v>
      </c>
      <c r="K9" t="s">
        <v>44</v>
      </c>
      <c r="L9">
        <f t="shared" si="0"/>
        <v>0.5</v>
      </c>
    </row>
    <row r="10" spans="1:12" x14ac:dyDescent="0.35">
      <c r="A10" t="s">
        <v>73</v>
      </c>
      <c r="B10" t="s">
        <v>11</v>
      </c>
      <c r="C10" t="s">
        <v>64</v>
      </c>
      <c r="D10" t="s">
        <v>1</v>
      </c>
      <c r="E10" t="s">
        <v>44</v>
      </c>
      <c r="F10">
        <v>10</v>
      </c>
      <c r="G10">
        <v>20</v>
      </c>
      <c r="H10" t="s">
        <v>46</v>
      </c>
      <c r="I10" t="s">
        <v>86</v>
      </c>
      <c r="K10" t="s">
        <v>44</v>
      </c>
      <c r="L10">
        <f t="shared" si="0"/>
        <v>0.5</v>
      </c>
    </row>
    <row r="11" spans="1:12" x14ac:dyDescent="0.35">
      <c r="A11" t="s">
        <v>122</v>
      </c>
      <c r="B11" t="s">
        <v>55</v>
      </c>
      <c r="C11" t="s">
        <v>65</v>
      </c>
      <c r="D11" t="s">
        <v>10</v>
      </c>
      <c r="E11" t="s">
        <v>45</v>
      </c>
      <c r="F11">
        <v>1</v>
      </c>
      <c r="G11">
        <v>2</v>
      </c>
      <c r="H11" t="s">
        <v>46</v>
      </c>
      <c r="I11" s="2" t="s">
        <v>81</v>
      </c>
      <c r="K11" t="s">
        <v>45</v>
      </c>
      <c r="L11">
        <f t="shared" si="0"/>
        <v>0</v>
      </c>
    </row>
    <row r="12" spans="1:12" x14ac:dyDescent="0.35">
      <c r="A12" t="s">
        <v>123</v>
      </c>
      <c r="B12" t="s">
        <v>17</v>
      </c>
      <c r="C12" t="s">
        <v>64</v>
      </c>
      <c r="D12" t="s">
        <v>10</v>
      </c>
      <c r="E12" t="s">
        <v>45</v>
      </c>
      <c r="F12">
        <v>1</v>
      </c>
      <c r="G12">
        <v>2</v>
      </c>
      <c r="H12" t="s">
        <v>46</v>
      </c>
      <c r="I12" t="s">
        <v>72</v>
      </c>
      <c r="K12" t="s">
        <v>45</v>
      </c>
      <c r="L12">
        <f t="shared" si="0"/>
        <v>0</v>
      </c>
    </row>
    <row r="13" spans="1:12" x14ac:dyDescent="0.35">
      <c r="A13" t="s">
        <v>124</v>
      </c>
      <c r="B13" t="s">
        <v>51</v>
      </c>
      <c r="C13" t="s">
        <v>64</v>
      </c>
      <c r="D13" t="s">
        <v>10</v>
      </c>
      <c r="E13" t="s">
        <v>45</v>
      </c>
      <c r="F13">
        <v>1</v>
      </c>
      <c r="G13">
        <v>2</v>
      </c>
      <c r="H13" t="s">
        <v>42</v>
      </c>
      <c r="K13" t="s">
        <v>45</v>
      </c>
      <c r="L13">
        <f t="shared" si="0"/>
        <v>0</v>
      </c>
    </row>
    <row r="14" spans="1:12" x14ac:dyDescent="0.35">
      <c r="A14" t="s">
        <v>74</v>
      </c>
      <c r="B14" t="s">
        <v>12</v>
      </c>
      <c r="C14" t="s">
        <v>65</v>
      </c>
      <c r="D14" t="s">
        <v>3</v>
      </c>
      <c r="E14" t="s">
        <v>45</v>
      </c>
      <c r="F14">
        <v>5</v>
      </c>
      <c r="G14">
        <v>7</v>
      </c>
      <c r="H14" t="s">
        <v>42</v>
      </c>
      <c r="K14" t="s">
        <v>44</v>
      </c>
      <c r="L14">
        <f t="shared" si="0"/>
        <v>0.5</v>
      </c>
    </row>
    <row r="15" spans="1:12" x14ac:dyDescent="0.35">
      <c r="A15" t="s">
        <v>76</v>
      </c>
      <c r="B15" t="s">
        <v>15</v>
      </c>
      <c r="C15" t="s">
        <v>65</v>
      </c>
      <c r="D15" t="s">
        <v>7</v>
      </c>
      <c r="E15" t="s">
        <v>45</v>
      </c>
      <c r="F15">
        <v>1</v>
      </c>
      <c r="G15">
        <v>2</v>
      </c>
      <c r="H15" t="s">
        <v>42</v>
      </c>
      <c r="K15" t="s">
        <v>45</v>
      </c>
      <c r="L15">
        <f t="shared" si="0"/>
        <v>0</v>
      </c>
    </row>
    <row r="16" spans="1:12" x14ac:dyDescent="0.35">
      <c r="A16" t="s">
        <v>75</v>
      </c>
      <c r="B16" t="s">
        <v>24</v>
      </c>
      <c r="C16" t="s">
        <v>64</v>
      </c>
      <c r="D16" t="s">
        <v>25</v>
      </c>
      <c r="E16" t="s">
        <v>45</v>
      </c>
      <c r="F16">
        <v>1</v>
      </c>
      <c r="G16">
        <v>2</v>
      </c>
      <c r="H16" t="s">
        <v>42</v>
      </c>
      <c r="K16" t="s">
        <v>45</v>
      </c>
      <c r="L16">
        <f t="shared" si="0"/>
        <v>0</v>
      </c>
    </row>
    <row r="17" spans="1:12" x14ac:dyDescent="0.35">
      <c r="A17" t="s">
        <v>77</v>
      </c>
      <c r="B17" t="s">
        <v>13</v>
      </c>
      <c r="C17" t="s">
        <v>65</v>
      </c>
      <c r="D17" t="s">
        <v>14</v>
      </c>
      <c r="E17" t="s">
        <v>45</v>
      </c>
      <c r="F17">
        <v>2</v>
      </c>
      <c r="G17">
        <v>2</v>
      </c>
      <c r="H17" t="s">
        <v>42</v>
      </c>
      <c r="K17" t="s">
        <v>45</v>
      </c>
      <c r="L17">
        <f t="shared" si="0"/>
        <v>0</v>
      </c>
    </row>
    <row r="18" spans="1:12" x14ac:dyDescent="0.35">
      <c r="A18" t="s">
        <v>77</v>
      </c>
      <c r="B18" t="s">
        <v>48</v>
      </c>
      <c r="C18" t="s">
        <v>65</v>
      </c>
      <c r="D18" t="s">
        <v>7</v>
      </c>
      <c r="E18" t="s">
        <v>45</v>
      </c>
      <c r="F18">
        <v>1</v>
      </c>
      <c r="G18">
        <v>2</v>
      </c>
      <c r="H18" t="s">
        <v>42</v>
      </c>
      <c r="K18" t="s">
        <v>45</v>
      </c>
      <c r="L18">
        <f t="shared" si="0"/>
        <v>0</v>
      </c>
    </row>
    <row r="19" spans="1:12" x14ac:dyDescent="0.35">
      <c r="A19" t="s">
        <v>77</v>
      </c>
      <c r="B19" t="s">
        <v>15</v>
      </c>
      <c r="C19" t="s">
        <v>64</v>
      </c>
      <c r="D19" t="s">
        <v>7</v>
      </c>
      <c r="E19" t="s">
        <v>45</v>
      </c>
      <c r="F19">
        <v>1</v>
      </c>
      <c r="G19">
        <v>1</v>
      </c>
      <c r="H19" t="s">
        <v>42</v>
      </c>
      <c r="K19" t="s">
        <v>45</v>
      </c>
      <c r="L19">
        <f t="shared" si="0"/>
        <v>0</v>
      </c>
    </row>
    <row r="20" spans="1:12" x14ac:dyDescent="0.35">
      <c r="A20" t="s">
        <v>78</v>
      </c>
      <c r="B20" t="s">
        <v>49</v>
      </c>
      <c r="C20" t="s">
        <v>65</v>
      </c>
      <c r="D20" t="s">
        <v>14</v>
      </c>
      <c r="E20" t="s">
        <v>45</v>
      </c>
      <c r="F20">
        <v>4</v>
      </c>
      <c r="G20">
        <v>6</v>
      </c>
      <c r="H20" t="s">
        <v>46</v>
      </c>
      <c r="I20" t="s">
        <v>88</v>
      </c>
      <c r="K20" t="s">
        <v>44</v>
      </c>
      <c r="L20">
        <f>IF(K20="yes", 0.5,0)</f>
        <v>0.5</v>
      </c>
    </row>
    <row r="21" spans="1:12" x14ac:dyDescent="0.35">
      <c r="A21" t="s">
        <v>79</v>
      </c>
      <c r="B21" t="s">
        <v>50</v>
      </c>
      <c r="C21" t="s">
        <v>65</v>
      </c>
      <c r="D21" t="s">
        <v>14</v>
      </c>
      <c r="E21" t="s">
        <v>45</v>
      </c>
      <c r="F21">
        <v>4</v>
      </c>
      <c r="G21">
        <v>6</v>
      </c>
      <c r="H21" t="s">
        <v>46</v>
      </c>
      <c r="I21" t="s">
        <v>87</v>
      </c>
      <c r="K21" t="s">
        <v>44</v>
      </c>
      <c r="L21">
        <f t="shared" ref="L21:L83" si="1">IF(K21="yes", 0.5,0)</f>
        <v>0.5</v>
      </c>
    </row>
    <row r="22" spans="1:12" x14ac:dyDescent="0.35">
      <c r="A22" t="s">
        <v>80</v>
      </c>
      <c r="B22" t="s">
        <v>16</v>
      </c>
      <c r="C22" t="s">
        <v>64</v>
      </c>
      <c r="D22" t="s">
        <v>25</v>
      </c>
      <c r="E22" t="s">
        <v>44</v>
      </c>
      <c r="F22">
        <v>4</v>
      </c>
      <c r="G22">
        <v>6</v>
      </c>
      <c r="H22" t="s">
        <v>42</v>
      </c>
      <c r="K22" t="s">
        <v>44</v>
      </c>
      <c r="L22">
        <f t="shared" si="1"/>
        <v>0.5</v>
      </c>
    </row>
    <row r="23" spans="1:12" x14ac:dyDescent="0.35">
      <c r="A23" t="s">
        <v>80</v>
      </c>
      <c r="B23" t="s">
        <v>51</v>
      </c>
      <c r="C23" t="s">
        <v>65</v>
      </c>
      <c r="D23" t="s">
        <v>10</v>
      </c>
      <c r="E23" t="s">
        <v>45</v>
      </c>
      <c r="F23">
        <v>3</v>
      </c>
      <c r="G23">
        <v>4</v>
      </c>
      <c r="H23" t="s">
        <v>42</v>
      </c>
      <c r="K23" t="s">
        <v>44</v>
      </c>
      <c r="L23">
        <f t="shared" si="1"/>
        <v>0.5</v>
      </c>
    </row>
    <row r="24" spans="1:12" x14ac:dyDescent="0.35">
      <c r="A24" t="s">
        <v>80</v>
      </c>
      <c r="B24" t="s">
        <v>52</v>
      </c>
      <c r="C24" t="s">
        <v>64</v>
      </c>
      <c r="D24" t="s">
        <v>10</v>
      </c>
      <c r="E24" t="s">
        <v>45</v>
      </c>
      <c r="F24">
        <v>3</v>
      </c>
      <c r="G24">
        <v>4</v>
      </c>
      <c r="H24" t="s">
        <v>42</v>
      </c>
      <c r="K24" t="s">
        <v>44</v>
      </c>
      <c r="L24">
        <f t="shared" si="1"/>
        <v>0.5</v>
      </c>
    </row>
    <row r="25" spans="1:12" x14ac:dyDescent="0.35">
      <c r="A25" t="s">
        <v>80</v>
      </c>
      <c r="B25" t="s">
        <v>17</v>
      </c>
      <c r="C25" t="s">
        <v>65</v>
      </c>
      <c r="D25" t="s">
        <v>10</v>
      </c>
      <c r="E25" t="s">
        <v>45</v>
      </c>
      <c r="F25">
        <v>2</v>
      </c>
      <c r="G25">
        <v>4</v>
      </c>
      <c r="H25" t="s">
        <v>42</v>
      </c>
      <c r="K25" t="s">
        <v>44</v>
      </c>
      <c r="L25">
        <f t="shared" si="1"/>
        <v>0.5</v>
      </c>
    </row>
    <row r="26" spans="1:12" x14ac:dyDescent="0.35">
      <c r="A26" t="s">
        <v>80</v>
      </c>
      <c r="B26" t="s">
        <v>13</v>
      </c>
      <c r="C26" t="s">
        <v>65</v>
      </c>
      <c r="D26" t="s">
        <v>14</v>
      </c>
      <c r="E26" t="s">
        <v>45</v>
      </c>
      <c r="F26">
        <v>3</v>
      </c>
      <c r="G26">
        <v>4</v>
      </c>
      <c r="H26" t="s">
        <v>42</v>
      </c>
      <c r="K26" t="s">
        <v>45</v>
      </c>
      <c r="L26">
        <f t="shared" si="1"/>
        <v>0</v>
      </c>
    </row>
    <row r="27" spans="1:12" x14ac:dyDescent="0.35">
      <c r="A27" t="s">
        <v>80</v>
      </c>
      <c r="B27" t="s">
        <v>18</v>
      </c>
      <c r="C27" t="s">
        <v>65</v>
      </c>
      <c r="D27" t="s">
        <v>7</v>
      </c>
      <c r="E27" t="s">
        <v>45</v>
      </c>
      <c r="F27">
        <v>1</v>
      </c>
      <c r="G27">
        <v>3</v>
      </c>
      <c r="H27" t="s">
        <v>42</v>
      </c>
      <c r="K27" t="s">
        <v>45</v>
      </c>
      <c r="L27">
        <f t="shared" si="1"/>
        <v>0</v>
      </c>
    </row>
    <row r="28" spans="1:12" x14ac:dyDescent="0.35">
      <c r="A28" t="s">
        <v>128</v>
      </c>
      <c r="B28" t="s">
        <v>53</v>
      </c>
      <c r="C28" t="s">
        <v>65</v>
      </c>
      <c r="D28" t="s">
        <v>9</v>
      </c>
      <c r="E28" t="s">
        <v>45</v>
      </c>
      <c r="F28">
        <v>1</v>
      </c>
      <c r="G28">
        <v>1</v>
      </c>
      <c r="H28" t="s">
        <v>42</v>
      </c>
      <c r="K28" t="s">
        <v>45</v>
      </c>
      <c r="L28">
        <f t="shared" si="1"/>
        <v>0</v>
      </c>
    </row>
    <row r="29" spans="1:12" x14ac:dyDescent="0.35">
      <c r="A29" s="4" t="s">
        <v>121</v>
      </c>
      <c r="B29" t="s">
        <v>56</v>
      </c>
      <c r="C29" t="s">
        <v>64</v>
      </c>
      <c r="D29" t="s">
        <v>22</v>
      </c>
      <c r="E29" t="s">
        <v>45</v>
      </c>
      <c r="F29">
        <v>4</v>
      </c>
      <c r="G29">
        <v>8</v>
      </c>
      <c r="H29" t="s">
        <v>42</v>
      </c>
      <c r="I29" t="s">
        <v>85</v>
      </c>
      <c r="K29" t="s">
        <v>44</v>
      </c>
      <c r="L29">
        <f t="shared" si="1"/>
        <v>0.5</v>
      </c>
    </row>
    <row r="30" spans="1:12" x14ac:dyDescent="0.35">
      <c r="A30" s="4" t="s">
        <v>121</v>
      </c>
      <c r="B30" t="s">
        <v>19</v>
      </c>
      <c r="C30" t="s">
        <v>65</v>
      </c>
      <c r="D30" t="s">
        <v>9</v>
      </c>
      <c r="E30" t="s">
        <v>45</v>
      </c>
      <c r="F30">
        <v>5</v>
      </c>
      <c r="G30">
        <v>7</v>
      </c>
      <c r="H30" t="s">
        <v>46</v>
      </c>
      <c r="I30" t="s">
        <v>82</v>
      </c>
      <c r="K30" t="s">
        <v>45</v>
      </c>
      <c r="L30">
        <f t="shared" si="1"/>
        <v>0</v>
      </c>
    </row>
    <row r="31" spans="1:12" x14ac:dyDescent="0.35">
      <c r="A31" s="4" t="s">
        <v>121</v>
      </c>
      <c r="B31" t="s">
        <v>4</v>
      </c>
      <c r="C31" t="s">
        <v>64</v>
      </c>
      <c r="D31" t="s">
        <v>20</v>
      </c>
      <c r="E31" t="s">
        <v>45</v>
      </c>
      <c r="F31">
        <v>3</v>
      </c>
      <c r="G31">
        <v>6</v>
      </c>
      <c r="H31" t="s">
        <v>42</v>
      </c>
      <c r="K31" t="s">
        <v>44</v>
      </c>
      <c r="L31">
        <f t="shared" si="1"/>
        <v>0.5</v>
      </c>
    </row>
    <row r="32" spans="1:12" x14ac:dyDescent="0.35">
      <c r="A32" s="2" t="s">
        <v>81</v>
      </c>
      <c r="B32" t="s">
        <v>133</v>
      </c>
      <c r="C32" t="s">
        <v>65</v>
      </c>
      <c r="D32" t="s">
        <v>1</v>
      </c>
      <c r="E32" t="s">
        <v>45</v>
      </c>
      <c r="F32">
        <v>6</v>
      </c>
      <c r="G32">
        <v>13</v>
      </c>
      <c r="H32" t="s">
        <v>43</v>
      </c>
      <c r="I32" t="s">
        <v>101</v>
      </c>
      <c r="K32" t="s">
        <v>45</v>
      </c>
      <c r="L32">
        <f t="shared" si="1"/>
        <v>0</v>
      </c>
    </row>
    <row r="33" spans="1:12" x14ac:dyDescent="0.35">
      <c r="A33" s="2" t="s">
        <v>81</v>
      </c>
      <c r="B33" t="s">
        <v>54</v>
      </c>
      <c r="C33" t="s">
        <v>65</v>
      </c>
      <c r="D33" t="s">
        <v>1</v>
      </c>
      <c r="E33" t="s">
        <v>45</v>
      </c>
      <c r="F33">
        <v>6</v>
      </c>
      <c r="G33">
        <v>13</v>
      </c>
      <c r="H33" t="s">
        <v>46</v>
      </c>
      <c r="I33" t="s">
        <v>101</v>
      </c>
      <c r="K33" t="s">
        <v>45</v>
      </c>
      <c r="L33">
        <f t="shared" si="1"/>
        <v>0</v>
      </c>
    </row>
    <row r="34" spans="1:12" x14ac:dyDescent="0.35">
      <c r="A34" s="2" t="s">
        <v>81</v>
      </c>
      <c r="B34" t="s">
        <v>55</v>
      </c>
      <c r="C34" t="s">
        <v>64</v>
      </c>
      <c r="D34" t="s">
        <v>10</v>
      </c>
      <c r="E34" t="s">
        <v>45</v>
      </c>
      <c r="F34">
        <v>1</v>
      </c>
      <c r="G34">
        <v>2</v>
      </c>
      <c r="H34" t="s">
        <v>42</v>
      </c>
      <c r="K34" t="s">
        <v>44</v>
      </c>
      <c r="L34">
        <f t="shared" si="1"/>
        <v>0.5</v>
      </c>
    </row>
    <row r="35" spans="1:12" x14ac:dyDescent="0.35">
      <c r="A35" t="s">
        <v>82</v>
      </c>
      <c r="B35" t="s">
        <v>19</v>
      </c>
      <c r="C35" t="s">
        <v>64</v>
      </c>
      <c r="D35" t="s">
        <v>9</v>
      </c>
      <c r="E35" t="s">
        <v>45</v>
      </c>
      <c r="F35">
        <v>4</v>
      </c>
      <c r="G35">
        <v>6</v>
      </c>
      <c r="H35" t="s">
        <v>42</v>
      </c>
      <c r="K35" t="s">
        <v>44</v>
      </c>
      <c r="L35">
        <f t="shared" si="1"/>
        <v>0.5</v>
      </c>
    </row>
    <row r="36" spans="1:12" x14ac:dyDescent="0.35">
      <c r="A36" s="2" t="s">
        <v>83</v>
      </c>
      <c r="B36" t="s">
        <v>0</v>
      </c>
      <c r="C36" t="s">
        <v>65</v>
      </c>
      <c r="D36" t="s">
        <v>1</v>
      </c>
      <c r="E36" t="s">
        <v>45</v>
      </c>
      <c r="F36">
        <v>15</v>
      </c>
      <c r="G36">
        <v>25</v>
      </c>
      <c r="H36" t="s">
        <v>43</v>
      </c>
      <c r="I36" s="2" t="s">
        <v>84</v>
      </c>
      <c r="K36" t="s">
        <v>45</v>
      </c>
      <c r="L36">
        <f t="shared" si="1"/>
        <v>0</v>
      </c>
    </row>
    <row r="37" spans="1:12" x14ac:dyDescent="0.35">
      <c r="A37" s="2" t="s">
        <v>84</v>
      </c>
      <c r="B37" t="s">
        <v>0</v>
      </c>
      <c r="C37" t="s">
        <v>64</v>
      </c>
      <c r="D37" t="s">
        <v>1</v>
      </c>
      <c r="E37" t="s">
        <v>44</v>
      </c>
      <c r="F37">
        <v>15</v>
      </c>
      <c r="G37">
        <v>25</v>
      </c>
      <c r="H37" t="s">
        <v>43</v>
      </c>
      <c r="I37" s="2" t="s">
        <v>83</v>
      </c>
      <c r="K37" t="s">
        <v>44</v>
      </c>
      <c r="L37">
        <f t="shared" si="1"/>
        <v>0.5</v>
      </c>
    </row>
    <row r="38" spans="1:12" x14ac:dyDescent="0.35">
      <c r="A38" t="s">
        <v>85</v>
      </c>
      <c r="B38" t="s">
        <v>56</v>
      </c>
      <c r="C38" t="s">
        <v>65</v>
      </c>
      <c r="D38" t="s">
        <v>22</v>
      </c>
      <c r="E38" t="s">
        <v>45</v>
      </c>
      <c r="F38">
        <v>3</v>
      </c>
      <c r="G38">
        <v>6</v>
      </c>
      <c r="H38" t="s">
        <v>43</v>
      </c>
      <c r="I38" s="4" t="s">
        <v>121</v>
      </c>
      <c r="K38" t="s">
        <v>45</v>
      </c>
      <c r="L38">
        <f t="shared" si="1"/>
        <v>0</v>
      </c>
    </row>
    <row r="39" spans="1:12" x14ac:dyDescent="0.35">
      <c r="A39" t="s">
        <v>85</v>
      </c>
      <c r="B39" t="s">
        <v>23</v>
      </c>
      <c r="C39" t="s">
        <v>65</v>
      </c>
      <c r="D39" t="s">
        <v>7</v>
      </c>
      <c r="E39" t="s">
        <v>45</v>
      </c>
      <c r="F39">
        <v>3</v>
      </c>
      <c r="G39">
        <v>4</v>
      </c>
      <c r="H39" t="s">
        <v>42</v>
      </c>
      <c r="K39" t="s">
        <v>44</v>
      </c>
      <c r="L39">
        <f t="shared" si="1"/>
        <v>0.5</v>
      </c>
    </row>
    <row r="40" spans="1:12" x14ac:dyDescent="0.35">
      <c r="A40" t="s">
        <v>85</v>
      </c>
      <c r="B40" t="s">
        <v>57</v>
      </c>
      <c r="C40" t="s">
        <v>64</v>
      </c>
      <c r="D40" t="s">
        <v>7</v>
      </c>
      <c r="E40" t="s">
        <v>45</v>
      </c>
      <c r="F40">
        <v>3</v>
      </c>
      <c r="G40">
        <v>5</v>
      </c>
      <c r="H40" t="s">
        <v>42</v>
      </c>
      <c r="K40" t="s">
        <v>44</v>
      </c>
      <c r="L40">
        <f t="shared" si="1"/>
        <v>0.5</v>
      </c>
    </row>
    <row r="41" spans="1:12" x14ac:dyDescent="0.35">
      <c r="A41" t="s">
        <v>85</v>
      </c>
      <c r="B41" t="s">
        <v>48</v>
      </c>
      <c r="C41" t="s">
        <v>64</v>
      </c>
      <c r="D41" t="s">
        <v>7</v>
      </c>
      <c r="E41" t="s">
        <v>45</v>
      </c>
      <c r="F41">
        <v>3</v>
      </c>
      <c r="G41">
        <v>5</v>
      </c>
      <c r="H41" t="s">
        <v>42</v>
      </c>
      <c r="K41" t="s">
        <v>44</v>
      </c>
      <c r="L41">
        <f t="shared" si="1"/>
        <v>0.5</v>
      </c>
    </row>
    <row r="42" spans="1:12" x14ac:dyDescent="0.35">
      <c r="A42" t="s">
        <v>85</v>
      </c>
      <c r="B42" t="s">
        <v>58</v>
      </c>
      <c r="C42" t="s">
        <v>65</v>
      </c>
      <c r="D42" t="s">
        <v>14</v>
      </c>
      <c r="E42" t="s">
        <v>45</v>
      </c>
      <c r="F42">
        <v>2</v>
      </c>
      <c r="G42">
        <v>3</v>
      </c>
      <c r="H42" t="s">
        <v>42</v>
      </c>
      <c r="K42" t="s">
        <v>45</v>
      </c>
      <c r="L42">
        <f t="shared" si="1"/>
        <v>0</v>
      </c>
    </row>
    <row r="43" spans="1:12" x14ac:dyDescent="0.35">
      <c r="A43" t="s">
        <v>85</v>
      </c>
      <c r="B43" t="s">
        <v>59</v>
      </c>
      <c r="C43" t="s">
        <v>65</v>
      </c>
      <c r="D43" t="s">
        <v>14</v>
      </c>
      <c r="E43" t="s">
        <v>45</v>
      </c>
      <c r="F43">
        <v>2</v>
      </c>
      <c r="G43">
        <v>3</v>
      </c>
      <c r="H43" t="s">
        <v>46</v>
      </c>
      <c r="I43" t="s">
        <v>89</v>
      </c>
      <c r="K43" t="s">
        <v>45</v>
      </c>
      <c r="L43">
        <f t="shared" si="1"/>
        <v>0</v>
      </c>
    </row>
    <row r="44" spans="1:12" x14ac:dyDescent="0.35">
      <c r="A44" t="s">
        <v>86</v>
      </c>
      <c r="B44" t="s">
        <v>0</v>
      </c>
      <c r="C44" t="s">
        <v>65</v>
      </c>
      <c r="D44" t="s">
        <v>1</v>
      </c>
      <c r="E44" t="s">
        <v>45</v>
      </c>
      <c r="F44">
        <v>10</v>
      </c>
      <c r="G44">
        <v>18</v>
      </c>
      <c r="H44" t="s">
        <v>43</v>
      </c>
      <c r="I44" t="s">
        <v>120</v>
      </c>
      <c r="K44" t="s">
        <v>44</v>
      </c>
      <c r="L44">
        <f t="shared" si="1"/>
        <v>0.5</v>
      </c>
    </row>
    <row r="45" spans="1:12" x14ac:dyDescent="0.35">
      <c r="A45" t="s">
        <v>86</v>
      </c>
      <c r="B45" t="s">
        <v>47</v>
      </c>
      <c r="C45" t="s">
        <v>64</v>
      </c>
      <c r="D45" t="s">
        <v>3</v>
      </c>
      <c r="E45" t="s">
        <v>44</v>
      </c>
      <c r="F45">
        <v>8</v>
      </c>
      <c r="G45">
        <v>10</v>
      </c>
      <c r="H45" t="s">
        <v>42</v>
      </c>
      <c r="K45" t="s">
        <v>44</v>
      </c>
      <c r="L45">
        <f t="shared" si="1"/>
        <v>0.5</v>
      </c>
    </row>
    <row r="46" spans="1:12" x14ac:dyDescent="0.35">
      <c r="A46" t="s">
        <v>86</v>
      </c>
      <c r="B46" t="s">
        <v>8</v>
      </c>
      <c r="C46" t="s">
        <v>64</v>
      </c>
      <c r="D46" t="s">
        <v>3</v>
      </c>
      <c r="E46" t="s">
        <v>45</v>
      </c>
      <c r="F46">
        <v>8</v>
      </c>
      <c r="G46">
        <v>10</v>
      </c>
      <c r="H46" t="s">
        <v>42</v>
      </c>
      <c r="K46" t="s">
        <v>44</v>
      </c>
      <c r="L46">
        <f t="shared" si="1"/>
        <v>0.5</v>
      </c>
    </row>
    <row r="47" spans="1:12" x14ac:dyDescent="0.35">
      <c r="A47" t="s">
        <v>86</v>
      </c>
      <c r="B47" t="s">
        <v>6</v>
      </c>
      <c r="C47" t="s">
        <v>64</v>
      </c>
      <c r="D47" t="s">
        <v>135</v>
      </c>
      <c r="E47" t="s">
        <v>45</v>
      </c>
      <c r="F47">
        <v>6</v>
      </c>
      <c r="G47">
        <v>10</v>
      </c>
      <c r="H47" t="s">
        <v>42</v>
      </c>
      <c r="K47" t="s">
        <v>44</v>
      </c>
      <c r="L47">
        <f t="shared" si="1"/>
        <v>0.5</v>
      </c>
    </row>
    <row r="48" spans="1:12" x14ac:dyDescent="0.35">
      <c r="A48" t="s">
        <v>86</v>
      </c>
      <c r="B48" t="s">
        <v>2</v>
      </c>
      <c r="C48" t="s">
        <v>65</v>
      </c>
      <c r="D48" t="s">
        <v>3</v>
      </c>
      <c r="E48" t="s">
        <v>45</v>
      </c>
      <c r="F48">
        <v>6</v>
      </c>
      <c r="G48">
        <v>15</v>
      </c>
      <c r="H48" t="s">
        <v>42</v>
      </c>
      <c r="K48" t="s">
        <v>44</v>
      </c>
      <c r="L48">
        <f t="shared" si="1"/>
        <v>0.5</v>
      </c>
    </row>
    <row r="49" spans="1:12" x14ac:dyDescent="0.35">
      <c r="A49" t="s">
        <v>86</v>
      </c>
      <c r="B49" t="s">
        <v>11</v>
      </c>
      <c r="C49" t="s">
        <v>65</v>
      </c>
      <c r="D49" t="s">
        <v>1</v>
      </c>
      <c r="E49" t="s">
        <v>45</v>
      </c>
      <c r="F49">
        <v>8</v>
      </c>
      <c r="G49">
        <v>22</v>
      </c>
      <c r="H49" t="s">
        <v>43</v>
      </c>
      <c r="I49" t="s">
        <v>73</v>
      </c>
      <c r="K49" t="s">
        <v>45</v>
      </c>
      <c r="L49">
        <f t="shared" si="1"/>
        <v>0</v>
      </c>
    </row>
    <row r="50" spans="1:12" x14ac:dyDescent="0.35">
      <c r="A50" t="s">
        <v>87</v>
      </c>
      <c r="B50" t="s">
        <v>50</v>
      </c>
      <c r="C50" t="s">
        <v>64</v>
      </c>
      <c r="D50" t="s">
        <v>14</v>
      </c>
      <c r="E50" t="s">
        <v>45</v>
      </c>
      <c r="F50">
        <v>3</v>
      </c>
      <c r="G50">
        <v>5</v>
      </c>
      <c r="H50" t="s">
        <v>42</v>
      </c>
      <c r="K50" t="s">
        <v>44</v>
      </c>
      <c r="L50">
        <f t="shared" si="1"/>
        <v>0.5</v>
      </c>
    </row>
    <row r="51" spans="1:12" x14ac:dyDescent="0.35">
      <c r="A51" t="s">
        <v>88</v>
      </c>
      <c r="B51" t="s">
        <v>60</v>
      </c>
      <c r="C51" t="s">
        <v>64</v>
      </c>
      <c r="D51" t="s">
        <v>14</v>
      </c>
      <c r="E51" t="s">
        <v>45</v>
      </c>
      <c r="F51">
        <v>3</v>
      </c>
      <c r="G51">
        <v>5</v>
      </c>
      <c r="H51" t="s">
        <v>42</v>
      </c>
      <c r="K51" t="s">
        <v>44</v>
      </c>
      <c r="L51">
        <f t="shared" si="1"/>
        <v>0.5</v>
      </c>
    </row>
    <row r="52" spans="1:12" x14ac:dyDescent="0.35">
      <c r="A52" t="s">
        <v>89</v>
      </c>
      <c r="B52" t="s">
        <v>59</v>
      </c>
      <c r="C52" t="s">
        <v>64</v>
      </c>
      <c r="D52" t="s">
        <v>14</v>
      </c>
      <c r="E52" t="s">
        <v>45</v>
      </c>
      <c r="F52">
        <v>1</v>
      </c>
      <c r="G52">
        <v>3</v>
      </c>
      <c r="H52" t="s">
        <v>42</v>
      </c>
      <c r="K52" t="s">
        <v>44</v>
      </c>
      <c r="L52">
        <f t="shared" si="1"/>
        <v>0.5</v>
      </c>
    </row>
    <row r="53" spans="1:12" x14ac:dyDescent="0.35">
      <c r="A53" t="s">
        <v>90</v>
      </c>
      <c r="B53" t="s">
        <v>61</v>
      </c>
      <c r="C53" t="s">
        <v>64</v>
      </c>
      <c r="D53" t="s">
        <v>14</v>
      </c>
      <c r="E53" t="s">
        <v>45</v>
      </c>
      <c r="F53">
        <v>1</v>
      </c>
      <c r="G53">
        <v>4</v>
      </c>
      <c r="H53" t="s">
        <v>42</v>
      </c>
      <c r="K53" t="s">
        <v>44</v>
      </c>
      <c r="L53">
        <f t="shared" si="1"/>
        <v>0.5</v>
      </c>
    </row>
    <row r="54" spans="1:12" x14ac:dyDescent="0.35">
      <c r="A54" t="s">
        <v>91</v>
      </c>
      <c r="B54" t="s">
        <v>24</v>
      </c>
      <c r="C54" t="s">
        <v>65</v>
      </c>
      <c r="D54" t="s">
        <v>25</v>
      </c>
      <c r="E54" t="s">
        <v>45</v>
      </c>
      <c r="F54">
        <v>1</v>
      </c>
      <c r="G54">
        <v>2</v>
      </c>
      <c r="H54" t="s">
        <v>42</v>
      </c>
      <c r="K54" t="s">
        <v>44</v>
      </c>
      <c r="L54">
        <f t="shared" si="1"/>
        <v>0.5</v>
      </c>
    </row>
    <row r="55" spans="1:12" x14ac:dyDescent="0.35">
      <c r="A55" t="s">
        <v>92</v>
      </c>
      <c r="B55" t="s">
        <v>2</v>
      </c>
      <c r="C55" t="s">
        <v>64</v>
      </c>
      <c r="D55" t="s">
        <v>3</v>
      </c>
      <c r="E55" t="s">
        <v>45</v>
      </c>
      <c r="F55">
        <v>2</v>
      </c>
      <c r="G55">
        <v>3</v>
      </c>
      <c r="H55" t="s">
        <v>43</v>
      </c>
      <c r="I55" t="s">
        <v>86</v>
      </c>
      <c r="K55" t="s">
        <v>45</v>
      </c>
      <c r="L55">
        <f t="shared" si="1"/>
        <v>0</v>
      </c>
    </row>
    <row r="56" spans="1:12" x14ac:dyDescent="0.35">
      <c r="A56" t="s">
        <v>93</v>
      </c>
      <c r="B56" t="s">
        <v>4</v>
      </c>
      <c r="C56" t="s">
        <v>65</v>
      </c>
      <c r="D56" t="s">
        <v>20</v>
      </c>
      <c r="E56" t="s">
        <v>45</v>
      </c>
      <c r="F56">
        <v>2</v>
      </c>
      <c r="G56">
        <v>4</v>
      </c>
      <c r="H56" t="s">
        <v>42</v>
      </c>
      <c r="K56" t="s">
        <v>45</v>
      </c>
      <c r="L56">
        <f t="shared" si="1"/>
        <v>0</v>
      </c>
    </row>
    <row r="57" spans="1:12" x14ac:dyDescent="0.35">
      <c r="A57" t="s">
        <v>94</v>
      </c>
      <c r="B57" t="s">
        <v>27</v>
      </c>
      <c r="C57" t="s">
        <v>65</v>
      </c>
      <c r="D57" t="s">
        <v>10</v>
      </c>
      <c r="E57" t="s">
        <v>45</v>
      </c>
      <c r="F57">
        <v>1</v>
      </c>
      <c r="G57">
        <v>3</v>
      </c>
      <c r="H57" t="s">
        <v>42</v>
      </c>
      <c r="K57" t="s">
        <v>45</v>
      </c>
      <c r="L57">
        <f t="shared" si="1"/>
        <v>0</v>
      </c>
    </row>
    <row r="58" spans="1:12" x14ac:dyDescent="0.35">
      <c r="A58" t="s">
        <v>95</v>
      </c>
      <c r="B58" t="s">
        <v>28</v>
      </c>
      <c r="C58" t="s">
        <v>64</v>
      </c>
      <c r="D58" t="s">
        <v>7</v>
      </c>
      <c r="E58" t="s">
        <v>45</v>
      </c>
      <c r="F58">
        <v>1</v>
      </c>
      <c r="G58">
        <v>2</v>
      </c>
      <c r="H58" t="s">
        <v>42</v>
      </c>
      <c r="K58" t="s">
        <v>45</v>
      </c>
      <c r="L58">
        <f t="shared" si="1"/>
        <v>0</v>
      </c>
    </row>
    <row r="59" spans="1:12" x14ac:dyDescent="0.35">
      <c r="A59" t="s">
        <v>96</v>
      </c>
      <c r="B59" t="s">
        <v>61</v>
      </c>
      <c r="C59" t="s">
        <v>65</v>
      </c>
      <c r="D59" t="s">
        <v>26</v>
      </c>
      <c r="E59" t="s">
        <v>45</v>
      </c>
      <c r="F59">
        <v>1</v>
      </c>
      <c r="G59">
        <v>2</v>
      </c>
      <c r="H59" t="s">
        <v>46</v>
      </c>
      <c r="I59" t="s">
        <v>90</v>
      </c>
      <c r="K59" t="s">
        <v>45</v>
      </c>
      <c r="L59">
        <f t="shared" si="1"/>
        <v>0</v>
      </c>
    </row>
    <row r="60" spans="1:12" x14ac:dyDescent="0.35">
      <c r="A60" t="s">
        <v>97</v>
      </c>
      <c r="B60" t="s">
        <v>62</v>
      </c>
      <c r="C60" t="s">
        <v>64</v>
      </c>
      <c r="D60" t="s">
        <v>10</v>
      </c>
      <c r="E60" t="s">
        <v>45</v>
      </c>
      <c r="F60">
        <v>1</v>
      </c>
      <c r="G60">
        <v>3</v>
      </c>
      <c r="H60" t="s">
        <v>43</v>
      </c>
      <c r="I60" t="s">
        <v>72</v>
      </c>
      <c r="K60" t="s">
        <v>45</v>
      </c>
      <c r="L60">
        <f t="shared" si="1"/>
        <v>0</v>
      </c>
    </row>
    <row r="61" spans="1:12" x14ac:dyDescent="0.35">
      <c r="A61" t="s">
        <v>98</v>
      </c>
      <c r="B61" t="s">
        <v>53</v>
      </c>
      <c r="C61" t="s">
        <v>65</v>
      </c>
      <c r="D61" t="s">
        <v>9</v>
      </c>
      <c r="E61" t="s">
        <v>45</v>
      </c>
      <c r="F61">
        <v>1</v>
      </c>
      <c r="G61">
        <v>1</v>
      </c>
      <c r="H61" t="s">
        <v>42</v>
      </c>
      <c r="K61" t="s">
        <v>45</v>
      </c>
      <c r="L61">
        <f t="shared" si="1"/>
        <v>0</v>
      </c>
    </row>
    <row r="62" spans="1:12" x14ac:dyDescent="0.35">
      <c r="A62" t="s">
        <v>99</v>
      </c>
      <c r="B62" t="s">
        <v>134</v>
      </c>
      <c r="C62" t="s">
        <v>64</v>
      </c>
      <c r="D62" t="s">
        <v>1</v>
      </c>
      <c r="E62" t="s">
        <v>45</v>
      </c>
      <c r="F62">
        <v>3</v>
      </c>
      <c r="G62">
        <v>4</v>
      </c>
      <c r="H62" t="s">
        <v>42</v>
      </c>
      <c r="K62" t="s">
        <v>44</v>
      </c>
      <c r="L62">
        <f t="shared" si="1"/>
        <v>0.5</v>
      </c>
    </row>
    <row r="63" spans="1:12" x14ac:dyDescent="0.35">
      <c r="A63" s="4" t="s">
        <v>130</v>
      </c>
      <c r="B63" t="s">
        <v>17</v>
      </c>
      <c r="C63" t="s">
        <v>64</v>
      </c>
      <c r="D63" t="s">
        <v>10</v>
      </c>
      <c r="E63" t="s">
        <v>45</v>
      </c>
      <c r="F63">
        <v>4</v>
      </c>
      <c r="G63">
        <v>8</v>
      </c>
      <c r="H63" t="s">
        <v>46</v>
      </c>
      <c r="I63" t="s">
        <v>72</v>
      </c>
      <c r="K63" t="s">
        <v>45</v>
      </c>
      <c r="L63">
        <f t="shared" si="1"/>
        <v>0</v>
      </c>
    </row>
    <row r="64" spans="1:12" x14ac:dyDescent="0.35">
      <c r="A64" s="4" t="s">
        <v>130</v>
      </c>
      <c r="B64" t="s">
        <v>51</v>
      </c>
      <c r="C64" t="s">
        <v>64</v>
      </c>
      <c r="D64" t="s">
        <v>10</v>
      </c>
      <c r="E64" t="s">
        <v>45</v>
      </c>
      <c r="F64">
        <v>4</v>
      </c>
      <c r="G64">
        <v>6</v>
      </c>
      <c r="H64" t="s">
        <v>42</v>
      </c>
      <c r="K64" t="s">
        <v>45</v>
      </c>
      <c r="L64">
        <f t="shared" si="1"/>
        <v>0</v>
      </c>
    </row>
    <row r="65" spans="1:12" x14ac:dyDescent="0.35">
      <c r="A65" t="s">
        <v>131</v>
      </c>
      <c r="B65" t="s">
        <v>4</v>
      </c>
      <c r="C65" t="s">
        <v>65</v>
      </c>
      <c r="D65" t="s">
        <v>20</v>
      </c>
      <c r="E65" t="s">
        <v>45</v>
      </c>
      <c r="F65">
        <v>1</v>
      </c>
      <c r="G65">
        <v>1</v>
      </c>
      <c r="H65" t="s">
        <v>42</v>
      </c>
      <c r="K65" t="s">
        <v>45</v>
      </c>
      <c r="L65">
        <f t="shared" si="1"/>
        <v>0</v>
      </c>
    </row>
    <row r="66" spans="1:12" x14ac:dyDescent="0.35">
      <c r="A66" t="s">
        <v>131</v>
      </c>
      <c r="B66" t="s">
        <v>50</v>
      </c>
      <c r="C66" t="s">
        <v>65</v>
      </c>
      <c r="D66" t="s">
        <v>14</v>
      </c>
      <c r="E66" t="s">
        <v>45</v>
      </c>
      <c r="F66">
        <v>1</v>
      </c>
      <c r="G66">
        <v>1</v>
      </c>
      <c r="H66" t="s">
        <v>46</v>
      </c>
      <c r="I66" t="s">
        <v>87</v>
      </c>
      <c r="K66" t="s">
        <v>45</v>
      </c>
      <c r="L66">
        <f t="shared" si="1"/>
        <v>0</v>
      </c>
    </row>
    <row r="67" spans="1:12" x14ac:dyDescent="0.35">
      <c r="A67" t="s">
        <v>131</v>
      </c>
      <c r="B67" t="s">
        <v>17</v>
      </c>
      <c r="C67" t="s">
        <v>64</v>
      </c>
      <c r="D67" t="s">
        <v>10</v>
      </c>
      <c r="E67" t="s">
        <v>45</v>
      </c>
      <c r="F67">
        <v>1</v>
      </c>
      <c r="G67">
        <v>1</v>
      </c>
      <c r="H67" t="s">
        <v>46</v>
      </c>
      <c r="I67" t="s">
        <v>72</v>
      </c>
      <c r="K67" t="s">
        <v>45</v>
      </c>
      <c r="L67">
        <f t="shared" si="1"/>
        <v>0</v>
      </c>
    </row>
    <row r="68" spans="1:12" x14ac:dyDescent="0.35">
      <c r="A68" t="s">
        <v>131</v>
      </c>
      <c r="B68" t="s">
        <v>15</v>
      </c>
      <c r="C68" t="s">
        <v>65</v>
      </c>
      <c r="D68" t="s">
        <v>7</v>
      </c>
      <c r="E68" t="s">
        <v>45</v>
      </c>
      <c r="F68">
        <v>1</v>
      </c>
      <c r="G68">
        <v>1</v>
      </c>
      <c r="H68" t="s">
        <v>42</v>
      </c>
      <c r="K68" t="s">
        <v>45</v>
      </c>
      <c r="L68">
        <f t="shared" si="1"/>
        <v>0</v>
      </c>
    </row>
    <row r="69" spans="1:12" x14ac:dyDescent="0.35">
      <c r="A69" t="s">
        <v>131</v>
      </c>
      <c r="B69" t="s">
        <v>28</v>
      </c>
      <c r="C69" t="s">
        <v>65</v>
      </c>
      <c r="D69" t="s">
        <v>7</v>
      </c>
      <c r="E69" t="s">
        <v>45</v>
      </c>
      <c r="F69">
        <v>1</v>
      </c>
      <c r="G69">
        <v>1</v>
      </c>
      <c r="H69" t="s">
        <v>46</v>
      </c>
      <c r="I69" t="s">
        <v>95</v>
      </c>
      <c r="K69" t="s">
        <v>45</v>
      </c>
      <c r="L69">
        <f t="shared" si="1"/>
        <v>0</v>
      </c>
    </row>
    <row r="70" spans="1:12" x14ac:dyDescent="0.35">
      <c r="A70" t="s">
        <v>101</v>
      </c>
      <c r="B70" t="s">
        <v>133</v>
      </c>
      <c r="C70" t="s">
        <v>64</v>
      </c>
      <c r="D70" t="s">
        <v>1</v>
      </c>
      <c r="E70" t="s">
        <v>45</v>
      </c>
      <c r="F70">
        <v>4</v>
      </c>
      <c r="G70">
        <v>5</v>
      </c>
      <c r="H70" t="s">
        <v>42</v>
      </c>
      <c r="K70" t="s">
        <v>44</v>
      </c>
      <c r="L70">
        <f t="shared" si="1"/>
        <v>0.5</v>
      </c>
    </row>
    <row r="71" spans="1:12" x14ac:dyDescent="0.35">
      <c r="A71" t="s">
        <v>101</v>
      </c>
      <c r="B71" t="s">
        <v>54</v>
      </c>
      <c r="C71" t="s">
        <v>64</v>
      </c>
      <c r="D71" t="s">
        <v>1</v>
      </c>
      <c r="E71" t="s">
        <v>45</v>
      </c>
      <c r="F71">
        <v>2</v>
      </c>
      <c r="G71">
        <v>5</v>
      </c>
      <c r="H71" t="s">
        <v>42</v>
      </c>
      <c r="K71" t="s">
        <v>44</v>
      </c>
      <c r="L71">
        <f t="shared" si="1"/>
        <v>0.5</v>
      </c>
    </row>
    <row r="72" spans="1:12" x14ac:dyDescent="0.35">
      <c r="A72" t="s">
        <v>132</v>
      </c>
      <c r="B72" t="s">
        <v>0</v>
      </c>
      <c r="C72" t="s">
        <v>64</v>
      </c>
      <c r="D72" t="s">
        <v>1</v>
      </c>
      <c r="E72" t="s">
        <v>45</v>
      </c>
      <c r="F72">
        <v>8</v>
      </c>
      <c r="G72">
        <v>15</v>
      </c>
      <c r="H72" t="s">
        <v>43</v>
      </c>
      <c r="I72" s="2" t="s">
        <v>83</v>
      </c>
      <c r="K72" t="s">
        <v>45</v>
      </c>
      <c r="L72">
        <f t="shared" si="1"/>
        <v>0</v>
      </c>
    </row>
    <row r="73" spans="1:12" x14ac:dyDescent="0.35">
      <c r="A73" t="s">
        <v>102</v>
      </c>
      <c r="B73" t="s">
        <v>15</v>
      </c>
      <c r="C73" t="s">
        <v>65</v>
      </c>
      <c r="D73" t="s">
        <v>7</v>
      </c>
      <c r="E73" t="s">
        <v>45</v>
      </c>
      <c r="F73">
        <v>2</v>
      </c>
      <c r="G73">
        <v>3</v>
      </c>
      <c r="H73" t="s">
        <v>42</v>
      </c>
      <c r="K73" t="s">
        <v>45</v>
      </c>
      <c r="L73">
        <f t="shared" si="1"/>
        <v>0</v>
      </c>
    </row>
    <row r="74" spans="1:12" x14ac:dyDescent="0.35">
      <c r="A74" t="s">
        <v>120</v>
      </c>
      <c r="B74" t="s">
        <v>0</v>
      </c>
      <c r="C74" t="s">
        <v>64</v>
      </c>
      <c r="D74" t="s">
        <v>1</v>
      </c>
      <c r="E74" t="s">
        <v>45</v>
      </c>
      <c r="F74">
        <v>7</v>
      </c>
      <c r="G74">
        <v>25</v>
      </c>
      <c r="H74" t="s">
        <v>42</v>
      </c>
      <c r="I74" t="s">
        <v>112</v>
      </c>
      <c r="K74" t="s">
        <v>45</v>
      </c>
      <c r="L74">
        <f t="shared" si="1"/>
        <v>0</v>
      </c>
    </row>
    <row r="75" spans="1:12" x14ac:dyDescent="0.35">
      <c r="A75" t="s">
        <v>103</v>
      </c>
      <c r="B75" t="s">
        <v>52</v>
      </c>
      <c r="C75" t="s">
        <v>64</v>
      </c>
      <c r="D75" t="s">
        <v>10</v>
      </c>
      <c r="E75" t="s">
        <v>45</v>
      </c>
      <c r="F75">
        <v>2</v>
      </c>
      <c r="G75">
        <v>3</v>
      </c>
      <c r="H75" t="s">
        <v>42</v>
      </c>
      <c r="K75" t="s">
        <v>44</v>
      </c>
      <c r="L75">
        <f t="shared" si="1"/>
        <v>0.5</v>
      </c>
    </row>
    <row r="76" spans="1:12" x14ac:dyDescent="0.35">
      <c r="A76" t="s">
        <v>103</v>
      </c>
      <c r="B76" t="s">
        <v>13</v>
      </c>
      <c r="C76" t="s">
        <v>64</v>
      </c>
      <c r="D76" t="s">
        <v>14</v>
      </c>
      <c r="E76" t="s">
        <v>45</v>
      </c>
      <c r="F76">
        <v>1</v>
      </c>
      <c r="G76">
        <v>3</v>
      </c>
      <c r="H76" t="s">
        <v>42</v>
      </c>
      <c r="K76" t="s">
        <v>45</v>
      </c>
      <c r="L76">
        <f t="shared" si="1"/>
        <v>0</v>
      </c>
    </row>
    <row r="77" spans="1:12" x14ac:dyDescent="0.35">
      <c r="A77" t="s">
        <v>103</v>
      </c>
      <c r="B77" s="3" t="s">
        <v>28</v>
      </c>
      <c r="C77" t="s">
        <v>65</v>
      </c>
      <c r="D77" t="s">
        <v>7</v>
      </c>
      <c r="E77" t="s">
        <v>45</v>
      </c>
      <c r="F77">
        <v>1</v>
      </c>
      <c r="G77">
        <v>2</v>
      </c>
      <c r="H77" t="s">
        <v>46</v>
      </c>
      <c r="I77" t="s">
        <v>95</v>
      </c>
      <c r="K77" t="s">
        <v>45</v>
      </c>
      <c r="L77">
        <f t="shared" si="1"/>
        <v>0</v>
      </c>
    </row>
    <row r="78" spans="1:12" x14ac:dyDescent="0.35">
      <c r="A78" t="s">
        <v>129</v>
      </c>
      <c r="B78" t="s">
        <v>53</v>
      </c>
      <c r="C78" t="s">
        <v>64</v>
      </c>
      <c r="D78" t="s">
        <v>9</v>
      </c>
      <c r="E78" t="s">
        <v>45</v>
      </c>
      <c r="F78">
        <v>1</v>
      </c>
      <c r="G78">
        <v>1</v>
      </c>
      <c r="H78" t="s">
        <v>42</v>
      </c>
      <c r="K78" t="s">
        <v>44</v>
      </c>
      <c r="L78">
        <f t="shared" si="1"/>
        <v>0.5</v>
      </c>
    </row>
    <row r="79" spans="1:12" x14ac:dyDescent="0.35">
      <c r="A79" t="s">
        <v>104</v>
      </c>
      <c r="B79" t="s">
        <v>60</v>
      </c>
      <c r="C79" t="s">
        <v>65</v>
      </c>
      <c r="D79" t="s">
        <v>14</v>
      </c>
      <c r="E79" t="s">
        <v>45</v>
      </c>
      <c r="F79">
        <v>4</v>
      </c>
      <c r="G79">
        <v>5</v>
      </c>
      <c r="H79" t="s">
        <v>46</v>
      </c>
      <c r="I79" t="s">
        <v>88</v>
      </c>
      <c r="K79" t="s">
        <v>44</v>
      </c>
      <c r="L79">
        <f t="shared" si="1"/>
        <v>0.5</v>
      </c>
    </row>
    <row r="80" spans="1:12" x14ac:dyDescent="0.35">
      <c r="A80" t="s">
        <v>104</v>
      </c>
      <c r="B80" t="s">
        <v>59</v>
      </c>
      <c r="C80" t="s">
        <v>65</v>
      </c>
      <c r="D80" t="s">
        <v>14</v>
      </c>
      <c r="E80" t="s">
        <v>45</v>
      </c>
      <c r="F80">
        <v>2</v>
      </c>
      <c r="G80">
        <v>3</v>
      </c>
      <c r="H80" t="s">
        <v>46</v>
      </c>
      <c r="I80" t="s">
        <v>89</v>
      </c>
      <c r="K80" t="s">
        <v>44</v>
      </c>
      <c r="L80">
        <f t="shared" si="1"/>
        <v>0.5</v>
      </c>
    </row>
    <row r="81" spans="1:12" x14ac:dyDescent="0.35">
      <c r="A81" t="s">
        <v>104</v>
      </c>
      <c r="B81" t="s">
        <v>63</v>
      </c>
      <c r="C81" t="s">
        <v>65</v>
      </c>
      <c r="D81" t="s">
        <v>21</v>
      </c>
      <c r="E81" t="s">
        <v>45</v>
      </c>
      <c r="F81">
        <v>3</v>
      </c>
      <c r="G81">
        <v>4</v>
      </c>
      <c r="H81" t="s">
        <v>46</v>
      </c>
      <c r="I81" t="s">
        <v>71</v>
      </c>
      <c r="K81" t="s">
        <v>44</v>
      </c>
      <c r="L81">
        <f t="shared" si="1"/>
        <v>0.5</v>
      </c>
    </row>
    <row r="82" spans="1:12" x14ac:dyDescent="0.35">
      <c r="A82" s="2" t="s">
        <v>105</v>
      </c>
      <c r="B82" t="s">
        <v>4</v>
      </c>
      <c r="C82" t="s">
        <v>65</v>
      </c>
      <c r="D82" t="s">
        <v>20</v>
      </c>
      <c r="E82" t="s">
        <v>45</v>
      </c>
      <c r="F82">
        <v>2</v>
      </c>
      <c r="G82">
        <v>4</v>
      </c>
      <c r="H82" t="s">
        <v>42</v>
      </c>
      <c r="K82" t="s">
        <v>45</v>
      </c>
      <c r="L82">
        <f t="shared" si="1"/>
        <v>0</v>
      </c>
    </row>
    <row r="83" spans="1:12" x14ac:dyDescent="0.35">
      <c r="A83" s="2" t="s">
        <v>113</v>
      </c>
      <c r="B83" t="s">
        <v>16</v>
      </c>
      <c r="C83" t="s">
        <v>65</v>
      </c>
      <c r="D83" t="s">
        <v>25</v>
      </c>
      <c r="E83" t="s">
        <v>45</v>
      </c>
      <c r="F83">
        <v>2</v>
      </c>
      <c r="G83">
        <v>2</v>
      </c>
      <c r="H83" t="s">
        <v>43</v>
      </c>
      <c r="I83" t="s">
        <v>80</v>
      </c>
      <c r="K83" t="s">
        <v>45</v>
      </c>
      <c r="L83">
        <f t="shared" si="1"/>
        <v>0</v>
      </c>
    </row>
    <row r="84" spans="1:12" x14ac:dyDescent="0.35">
      <c r="A84" t="s">
        <v>106</v>
      </c>
      <c r="B84" t="s">
        <v>15</v>
      </c>
      <c r="C84" t="s">
        <v>65</v>
      </c>
      <c r="D84" t="s">
        <v>7</v>
      </c>
      <c r="E84" t="s">
        <v>44</v>
      </c>
      <c r="F84">
        <v>1</v>
      </c>
      <c r="G84">
        <v>2</v>
      </c>
      <c r="H84" t="s">
        <v>42</v>
      </c>
      <c r="K84" t="s">
        <v>45</v>
      </c>
      <c r="L84">
        <f t="shared" ref="L84:L102" si="2">IF(K84="yes", 0.5,0)</f>
        <v>0</v>
      </c>
    </row>
    <row r="85" spans="1:12" x14ac:dyDescent="0.35">
      <c r="A85" t="s">
        <v>107</v>
      </c>
      <c r="B85" t="s">
        <v>2</v>
      </c>
      <c r="C85" t="s">
        <v>64</v>
      </c>
      <c r="D85" t="s">
        <v>3</v>
      </c>
      <c r="E85" t="s">
        <v>45</v>
      </c>
      <c r="F85">
        <v>3</v>
      </c>
      <c r="G85">
        <v>4</v>
      </c>
      <c r="H85" t="s">
        <v>42</v>
      </c>
      <c r="K85" t="s">
        <v>45</v>
      </c>
      <c r="L85">
        <f t="shared" si="2"/>
        <v>0</v>
      </c>
    </row>
    <row r="86" spans="1:12" x14ac:dyDescent="0.35">
      <c r="A86" s="2" t="s">
        <v>108</v>
      </c>
      <c r="B86" t="s">
        <v>28</v>
      </c>
      <c r="C86" t="s">
        <v>65</v>
      </c>
      <c r="D86" t="s">
        <v>7</v>
      </c>
      <c r="E86" t="s">
        <v>45</v>
      </c>
      <c r="F86">
        <v>1</v>
      </c>
      <c r="G86">
        <v>2</v>
      </c>
      <c r="H86" t="s">
        <v>46</v>
      </c>
      <c r="I86" t="s">
        <v>95</v>
      </c>
      <c r="K86" t="s">
        <v>45</v>
      </c>
      <c r="L86">
        <f t="shared" si="2"/>
        <v>0</v>
      </c>
    </row>
    <row r="87" spans="1:12" x14ac:dyDescent="0.35">
      <c r="A87" s="2" t="s">
        <v>108</v>
      </c>
      <c r="B87" t="s">
        <v>17</v>
      </c>
      <c r="C87" t="s">
        <v>64</v>
      </c>
      <c r="D87" t="s">
        <v>10</v>
      </c>
      <c r="E87" t="s">
        <v>45</v>
      </c>
      <c r="F87">
        <v>1</v>
      </c>
      <c r="G87">
        <v>1</v>
      </c>
      <c r="H87" t="s">
        <v>42</v>
      </c>
      <c r="K87" t="s">
        <v>45</v>
      </c>
      <c r="L87">
        <f t="shared" si="2"/>
        <v>0</v>
      </c>
    </row>
    <row r="88" spans="1:12" x14ac:dyDescent="0.35">
      <c r="A88" s="2" t="s">
        <v>109</v>
      </c>
      <c r="B88" t="s">
        <v>15</v>
      </c>
      <c r="C88" t="s">
        <v>65</v>
      </c>
      <c r="D88" t="s">
        <v>7</v>
      </c>
      <c r="E88" t="s">
        <v>45</v>
      </c>
      <c r="F88">
        <v>2</v>
      </c>
      <c r="G88">
        <v>2</v>
      </c>
      <c r="H88" t="s">
        <v>46</v>
      </c>
      <c r="I88" s="2" t="s">
        <v>118</v>
      </c>
      <c r="K88" t="s">
        <v>45</v>
      </c>
      <c r="L88">
        <f t="shared" si="2"/>
        <v>0</v>
      </c>
    </row>
    <row r="89" spans="1:12" x14ac:dyDescent="0.35">
      <c r="A89" s="2" t="s">
        <v>110</v>
      </c>
      <c r="B89" t="s">
        <v>4</v>
      </c>
      <c r="C89" t="s">
        <v>65</v>
      </c>
      <c r="D89" t="s">
        <v>5</v>
      </c>
      <c r="E89" t="s">
        <v>45</v>
      </c>
      <c r="F89">
        <v>2</v>
      </c>
      <c r="G89">
        <v>2</v>
      </c>
      <c r="H89" t="s">
        <v>42</v>
      </c>
      <c r="K89" t="s">
        <v>44</v>
      </c>
      <c r="L89">
        <f t="shared" si="2"/>
        <v>0.5</v>
      </c>
    </row>
    <row r="90" spans="1:12" x14ac:dyDescent="0.35">
      <c r="A90" s="2" t="s">
        <v>111</v>
      </c>
      <c r="B90" t="s">
        <v>15</v>
      </c>
      <c r="C90" t="s">
        <v>64</v>
      </c>
      <c r="D90" t="s">
        <v>7</v>
      </c>
      <c r="E90" t="s">
        <v>45</v>
      </c>
      <c r="F90">
        <v>1</v>
      </c>
      <c r="G90">
        <v>2</v>
      </c>
      <c r="H90" t="s">
        <v>42</v>
      </c>
      <c r="K90" t="s">
        <v>44</v>
      </c>
      <c r="L90">
        <f t="shared" si="2"/>
        <v>0.5</v>
      </c>
    </row>
    <row r="91" spans="1:12" x14ac:dyDescent="0.35">
      <c r="A91" t="s">
        <v>127</v>
      </c>
      <c r="B91" t="s">
        <v>19</v>
      </c>
      <c r="C91" t="s">
        <v>64</v>
      </c>
      <c r="D91" t="s">
        <v>9</v>
      </c>
      <c r="E91" t="s">
        <v>45</v>
      </c>
      <c r="F91">
        <v>2</v>
      </c>
      <c r="G91">
        <v>3</v>
      </c>
      <c r="H91" t="s">
        <v>42</v>
      </c>
      <c r="K91" t="s">
        <v>45</v>
      </c>
      <c r="L91">
        <f t="shared" si="2"/>
        <v>0</v>
      </c>
    </row>
    <row r="92" spans="1:12" x14ac:dyDescent="0.35">
      <c r="A92" t="s">
        <v>126</v>
      </c>
      <c r="B92" t="s">
        <v>17</v>
      </c>
      <c r="C92" t="s">
        <v>64</v>
      </c>
      <c r="D92" t="s">
        <v>10</v>
      </c>
      <c r="E92" t="s">
        <v>45</v>
      </c>
      <c r="F92">
        <v>2</v>
      </c>
      <c r="G92">
        <v>3</v>
      </c>
      <c r="H92" t="s">
        <v>43</v>
      </c>
      <c r="I92" t="s">
        <v>72</v>
      </c>
      <c r="K92" t="s">
        <v>45</v>
      </c>
      <c r="L92">
        <f t="shared" si="2"/>
        <v>0</v>
      </c>
    </row>
    <row r="93" spans="1:12" x14ac:dyDescent="0.35">
      <c r="A93" t="s">
        <v>125</v>
      </c>
      <c r="B93" t="s">
        <v>28</v>
      </c>
      <c r="C93" t="s">
        <v>65</v>
      </c>
      <c r="D93" t="s">
        <v>7</v>
      </c>
      <c r="E93" t="s">
        <v>45</v>
      </c>
      <c r="F93">
        <v>2</v>
      </c>
      <c r="G93">
        <v>3</v>
      </c>
      <c r="H93" t="s">
        <v>46</v>
      </c>
      <c r="I93" t="s">
        <v>95</v>
      </c>
      <c r="K93" t="s">
        <v>45</v>
      </c>
      <c r="L93">
        <f t="shared" si="2"/>
        <v>0</v>
      </c>
    </row>
    <row r="94" spans="1:12" x14ac:dyDescent="0.35">
      <c r="A94" t="s">
        <v>112</v>
      </c>
      <c r="B94" t="s">
        <v>0</v>
      </c>
      <c r="C94" t="s">
        <v>65</v>
      </c>
      <c r="D94" t="s">
        <v>1</v>
      </c>
      <c r="E94" t="s">
        <v>45</v>
      </c>
      <c r="F94">
        <v>11</v>
      </c>
      <c r="G94">
        <v>23</v>
      </c>
      <c r="H94" t="s">
        <v>42</v>
      </c>
      <c r="K94" t="s">
        <v>44</v>
      </c>
      <c r="L94">
        <f t="shared" si="2"/>
        <v>0.5</v>
      </c>
    </row>
    <row r="95" spans="1:12" x14ac:dyDescent="0.35">
      <c r="A95" t="s">
        <v>114</v>
      </c>
      <c r="B95" t="s">
        <v>2</v>
      </c>
      <c r="C95" t="s">
        <v>64</v>
      </c>
      <c r="D95" t="s">
        <v>3</v>
      </c>
      <c r="E95" t="s">
        <v>45</v>
      </c>
      <c r="F95">
        <v>2</v>
      </c>
      <c r="G95">
        <v>4</v>
      </c>
      <c r="H95" t="s">
        <v>46</v>
      </c>
      <c r="I95" t="s">
        <v>86</v>
      </c>
      <c r="K95" t="s">
        <v>45</v>
      </c>
      <c r="L95">
        <f t="shared" si="2"/>
        <v>0</v>
      </c>
    </row>
    <row r="96" spans="1:12" x14ac:dyDescent="0.35">
      <c r="A96" s="2" t="s">
        <v>115</v>
      </c>
      <c r="B96" t="s">
        <v>23</v>
      </c>
      <c r="C96" t="s">
        <v>64</v>
      </c>
      <c r="D96" t="s">
        <v>7</v>
      </c>
      <c r="E96" t="s">
        <v>45</v>
      </c>
      <c r="F96">
        <v>1</v>
      </c>
      <c r="G96">
        <v>3</v>
      </c>
      <c r="H96" t="s">
        <v>42</v>
      </c>
      <c r="K96" t="s">
        <v>44</v>
      </c>
      <c r="L96">
        <f t="shared" si="2"/>
        <v>0.5</v>
      </c>
    </row>
    <row r="97" spans="1:12" x14ac:dyDescent="0.35">
      <c r="A97" t="s">
        <v>116</v>
      </c>
      <c r="B97" t="s">
        <v>29</v>
      </c>
      <c r="C97" t="s">
        <v>64</v>
      </c>
      <c r="D97" t="s">
        <v>7</v>
      </c>
      <c r="E97" t="s">
        <v>45</v>
      </c>
      <c r="F97">
        <v>2</v>
      </c>
      <c r="G97">
        <v>2</v>
      </c>
      <c r="H97" t="s">
        <v>42</v>
      </c>
      <c r="K97" t="s">
        <v>44</v>
      </c>
      <c r="L97">
        <f t="shared" si="2"/>
        <v>0.5</v>
      </c>
    </row>
    <row r="98" spans="1:12" x14ac:dyDescent="0.35">
      <c r="A98" t="s">
        <v>116</v>
      </c>
      <c r="B98" t="s">
        <v>4</v>
      </c>
      <c r="C98" t="s">
        <v>65</v>
      </c>
      <c r="D98" t="s">
        <v>20</v>
      </c>
      <c r="E98" t="s">
        <v>45</v>
      </c>
      <c r="F98">
        <v>2</v>
      </c>
      <c r="G98">
        <v>3</v>
      </c>
      <c r="H98" t="s">
        <v>42</v>
      </c>
      <c r="K98" t="s">
        <v>44</v>
      </c>
      <c r="L98">
        <f t="shared" si="2"/>
        <v>0.5</v>
      </c>
    </row>
    <row r="99" spans="1:12" x14ac:dyDescent="0.35">
      <c r="A99" s="2" t="s">
        <v>117</v>
      </c>
      <c r="B99" t="s">
        <v>57</v>
      </c>
      <c r="C99" t="s">
        <v>65</v>
      </c>
      <c r="D99" t="s">
        <v>7</v>
      </c>
      <c r="E99" t="s">
        <v>45</v>
      </c>
      <c r="F99">
        <v>3</v>
      </c>
      <c r="G99">
        <v>5</v>
      </c>
      <c r="H99" t="s">
        <v>46</v>
      </c>
      <c r="K99" t="s">
        <v>45</v>
      </c>
      <c r="L99">
        <f t="shared" si="2"/>
        <v>0</v>
      </c>
    </row>
    <row r="100" spans="1:12" x14ac:dyDescent="0.35">
      <c r="A100" s="2" t="s">
        <v>117</v>
      </c>
      <c r="B100" t="s">
        <v>48</v>
      </c>
      <c r="C100" t="s">
        <v>65</v>
      </c>
      <c r="D100" t="s">
        <v>7</v>
      </c>
      <c r="E100" t="s">
        <v>45</v>
      </c>
      <c r="F100">
        <v>3</v>
      </c>
      <c r="G100">
        <v>5</v>
      </c>
      <c r="H100" t="s">
        <v>46</v>
      </c>
      <c r="K100" t="s">
        <v>45</v>
      </c>
      <c r="L100">
        <f t="shared" si="2"/>
        <v>0</v>
      </c>
    </row>
    <row r="101" spans="1:12" x14ac:dyDescent="0.35">
      <c r="A101" s="2" t="s">
        <v>118</v>
      </c>
      <c r="B101" t="s">
        <v>15</v>
      </c>
      <c r="C101" t="s">
        <v>64</v>
      </c>
      <c r="D101" t="s">
        <v>7</v>
      </c>
      <c r="E101" t="s">
        <v>44</v>
      </c>
      <c r="F101">
        <v>2</v>
      </c>
      <c r="G101">
        <v>3</v>
      </c>
      <c r="H101" t="s">
        <v>42</v>
      </c>
      <c r="K101" t="s">
        <v>44</v>
      </c>
      <c r="L101">
        <f t="shared" si="2"/>
        <v>0.5</v>
      </c>
    </row>
    <row r="102" spans="1:12" x14ac:dyDescent="0.35">
      <c r="A102" t="s">
        <v>119</v>
      </c>
      <c r="B102" t="s">
        <v>15</v>
      </c>
      <c r="C102" t="s">
        <v>64</v>
      </c>
      <c r="D102" t="s">
        <v>7</v>
      </c>
      <c r="E102" t="s">
        <v>45</v>
      </c>
      <c r="F102">
        <v>2</v>
      </c>
      <c r="G102">
        <v>4</v>
      </c>
      <c r="H102" t="s">
        <v>42</v>
      </c>
      <c r="K102" t="s">
        <v>44</v>
      </c>
      <c r="L102">
        <f t="shared" si="2"/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Hove</dc:creator>
  <cp:lastModifiedBy>Anders Hove</cp:lastModifiedBy>
  <dcterms:created xsi:type="dcterms:W3CDTF">2026-04-27T12:03:29Z</dcterms:created>
  <dcterms:modified xsi:type="dcterms:W3CDTF">2026-08-09T18:24:32Z</dcterms:modified>
</cp:coreProperties>
</file>